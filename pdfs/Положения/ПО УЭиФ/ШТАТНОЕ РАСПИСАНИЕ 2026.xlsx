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ib\Desktop\Тарификация УЭиФ 26.11.25\"/>
    </mc:Choice>
  </mc:AlternateContent>
  <xr:revisionPtr revIDLastSave="0" documentId="13_ncr:1_{5BD8AB90-319C-47D1-B53E-997229B3D62F}" xr6:coauthVersionLast="47" xr6:coauthVersionMax="47" xr10:uidLastSave="{00000000-0000-0000-0000-000000000000}"/>
  <bookViews>
    <workbookView xWindow="-120" yWindow="-120" windowWidth="29040" windowHeight="15840" xr2:uid="{E0F52E90-34E0-4B31-9C19-27E91F58B22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4" i="1" l="1"/>
  <c r="G88" i="1"/>
  <c r="G81" i="1"/>
  <c r="G74" i="1"/>
  <c r="G67" i="1"/>
  <c r="G61" i="1"/>
  <c r="G55" i="1"/>
  <c r="G49" i="1"/>
  <c r="G42" i="1"/>
  <c r="G36" i="1"/>
  <c r="G30" i="1"/>
  <c r="G22" i="1"/>
  <c r="G15" i="1"/>
  <c r="G9" i="1"/>
  <c r="E95" i="1"/>
  <c r="G95" i="1" l="1"/>
</calcChain>
</file>

<file path=xl/sharedStrings.xml><?xml version="1.0" encoding="utf-8"?>
<sst xmlns="http://schemas.openxmlformats.org/spreadsheetml/2006/main" count="301" uniqueCount="61">
  <si>
    <t>Уровень должности</t>
  </si>
  <si>
    <t>Функциональный блок</t>
  </si>
  <si>
    <t>Категория должностей</t>
  </si>
  <si>
    <t>Наименования должностей</t>
  </si>
  <si>
    <t>Стаж государственной службы в годах</t>
  </si>
  <si>
    <t>Количество штатных единиц</t>
  </si>
  <si>
    <t>Должностной оклад</t>
  </si>
  <si>
    <t>9 уровень</t>
  </si>
  <si>
    <t>A</t>
  </si>
  <si>
    <t>D-O-1 А-9</t>
  </si>
  <si>
    <t>Руководитель управления</t>
  </si>
  <si>
    <t>7 уровень</t>
  </si>
  <si>
    <t>D-O-2  A-7</t>
  </si>
  <si>
    <t>Заместитель руководителя</t>
  </si>
  <si>
    <t>с 12 до 15</t>
  </si>
  <si>
    <t>с 9 до 12</t>
  </si>
  <si>
    <t>с 6 до 9</t>
  </si>
  <si>
    <t>5 уровень</t>
  </si>
  <si>
    <t>D-O-3 A-5</t>
  </si>
  <si>
    <t>Руководитель отдела</t>
  </si>
  <si>
    <t>с 4 до 6</t>
  </si>
  <si>
    <t>4 уровень</t>
  </si>
  <si>
    <t>B</t>
  </si>
  <si>
    <t>с 15 до 18</t>
  </si>
  <si>
    <t>D-O-4 А-4</t>
  </si>
  <si>
    <t>Главный специалист</t>
  </si>
  <si>
    <t>с 18 и выше</t>
  </si>
  <si>
    <t>с 1 до 2</t>
  </si>
  <si>
    <t>с 2 до 4</t>
  </si>
  <si>
    <t>3 уровень</t>
  </si>
  <si>
    <t>D-O-4 B-3</t>
  </si>
  <si>
    <t>до 2 лет</t>
  </si>
  <si>
    <t>Отдел социально-экономического развития</t>
  </si>
  <si>
    <t>вакансия</t>
  </si>
  <si>
    <t>глав спец</t>
  </si>
  <si>
    <t xml:space="preserve">вакансия </t>
  </si>
  <si>
    <t>статист</t>
  </si>
  <si>
    <t>Отдел стратегического планирования и проектного управления</t>
  </si>
  <si>
    <t>Отдел бюджетных инвестиций и государтсвенно- частного партнерства</t>
  </si>
  <si>
    <t>Отдел бюджетной политики и планирования</t>
  </si>
  <si>
    <t>Отдел планирования бюджета развития и реального сектора</t>
  </si>
  <si>
    <t>Отдел планирования бюджета социальной сферы</t>
  </si>
  <si>
    <t>Отдел планирования бюджета правоохранительной сферы и государственных органов</t>
  </si>
  <si>
    <t>вакасия</t>
  </si>
  <si>
    <t>Отдел планирования бюджета районов и благоустройства города</t>
  </si>
  <si>
    <t>Сводный отдел по исполнению бюджета и отчетности</t>
  </si>
  <si>
    <t>глав спец на учебе</t>
  </si>
  <si>
    <t>Отдел по исполнению текущего бюджета</t>
  </si>
  <si>
    <t>Отдел мониторгинга и оценки исполнения бюджета развития</t>
  </si>
  <si>
    <t>Отдел поступлений и долговых обязательств местных исполнительных органов</t>
  </si>
  <si>
    <t>Административно-правовой отдел</t>
  </si>
  <si>
    <t>D-O-3 A-4</t>
  </si>
  <si>
    <t>В</t>
  </si>
  <si>
    <t>с15 до 18</t>
  </si>
  <si>
    <t xml:space="preserve">свыше от 18 </t>
  </si>
  <si>
    <t xml:space="preserve">свыше от18 </t>
  </si>
  <si>
    <t>Штатное расписание                                                             Управление экономики и финансов города Алматы</t>
  </si>
  <si>
    <t>итого</t>
  </si>
  <si>
    <t>свыше от 18</t>
  </si>
  <si>
    <t>с 13 до 9</t>
  </si>
  <si>
    <t>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</si>
</sst>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8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auto="1"/>
        <bgColor auto="1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left" wrapText="1"/>
    </xf>
    <xf numFmtId="1" fontId="2" fillId="2" borderId="1" xfId="0" applyNumberFormat="1" applyFont="1" applyFill="1" applyBorder="1" applyAlignment="1">
      <alignment horizontal="right" wrapText="1"/>
    </xf>
    <xf numFmtId="164" fontId="2" fillId="2" borderId="1" xfId="0" applyNumberFormat="1" applyFont="1" applyFill="1" applyBorder="1" applyAlignment="1">
      <alignment horizontal="right" wrapText="1"/>
    </xf>
    <xf numFmtId="0" fontId="4" fillId="2" borderId="0" xfId="0" applyFont="1" applyFill="1" applyAlignment="1">
      <alignment horizontal="left"/>
    </xf>
    <xf numFmtId="0" fontId="2" fillId="2" borderId="4" xfId="0" applyFont="1" applyFill="1" applyBorder="1" applyAlignment="1">
      <alignment horizontal="left" wrapText="1"/>
    </xf>
    <xf numFmtId="1" fontId="2" fillId="2" borderId="4" xfId="0" applyNumberFormat="1" applyFont="1" applyFill="1" applyBorder="1" applyAlignment="1">
      <alignment horizontal="right" wrapText="1"/>
    </xf>
    <xf numFmtId="164" fontId="2" fillId="2" borderId="4" xfId="0" applyNumberFormat="1" applyFont="1" applyFill="1" applyBorder="1" applyAlignment="1">
      <alignment horizontal="right" wrapText="1"/>
    </xf>
    <xf numFmtId="0" fontId="2" fillId="2" borderId="2" xfId="0" applyFont="1" applyFill="1" applyBorder="1" applyAlignment="1">
      <alignment horizontal="left" wrapText="1"/>
    </xf>
    <xf numFmtId="1" fontId="2" fillId="2" borderId="2" xfId="0" applyNumberFormat="1" applyFont="1" applyFill="1" applyBorder="1" applyAlignment="1">
      <alignment horizontal="right" wrapText="1"/>
    </xf>
    <xf numFmtId="164" fontId="2" fillId="2" borderId="2" xfId="0" applyNumberFormat="1" applyFont="1" applyFill="1" applyBorder="1" applyAlignment="1">
      <alignment horizontal="right" wrapText="1"/>
    </xf>
    <xf numFmtId="0" fontId="4" fillId="2" borderId="11" xfId="0" applyFont="1" applyFill="1" applyBorder="1" applyAlignment="1">
      <alignment horizontal="left"/>
    </xf>
    <xf numFmtId="0" fontId="5" fillId="2" borderId="11" xfId="0" applyFont="1" applyFill="1" applyBorder="1" applyAlignment="1">
      <alignment horizontal="left"/>
    </xf>
    <xf numFmtId="1" fontId="5" fillId="2" borderId="11" xfId="0" applyNumberFormat="1" applyFont="1" applyFill="1" applyBorder="1" applyAlignment="1">
      <alignment horizontal="right"/>
    </xf>
    <xf numFmtId="0" fontId="1" fillId="0" borderId="0" xfId="0" applyFont="1"/>
    <xf numFmtId="0" fontId="2" fillId="2" borderId="11" xfId="0" applyFont="1" applyFill="1" applyBorder="1" applyAlignment="1">
      <alignment wrapText="1"/>
    </xf>
    <xf numFmtId="0" fontId="2" fillId="2" borderId="0" xfId="0" applyFont="1" applyFill="1" applyAlignment="1">
      <alignment horizontal="left" wrapText="1"/>
    </xf>
    <xf numFmtId="1" fontId="2" fillId="2" borderId="0" xfId="0" applyNumberFormat="1" applyFont="1" applyFill="1" applyAlignment="1">
      <alignment horizontal="right" wrapText="1"/>
    </xf>
    <xf numFmtId="0" fontId="2" fillId="2" borderId="9" xfId="0" applyFont="1" applyFill="1" applyBorder="1" applyAlignment="1">
      <alignment horizontal="left" wrapText="1"/>
    </xf>
    <xf numFmtId="0" fontId="2" fillId="2" borderId="10" xfId="0" applyFont="1" applyFill="1" applyBorder="1" applyAlignment="1">
      <alignment horizontal="left" wrapText="1"/>
    </xf>
    <xf numFmtId="1" fontId="2" fillId="2" borderId="10" xfId="0" applyNumberFormat="1" applyFont="1" applyFill="1" applyBorder="1" applyAlignment="1">
      <alignment horizontal="right" wrapText="1"/>
    </xf>
    <xf numFmtId="164" fontId="3" fillId="2" borderId="0" xfId="0" applyNumberFormat="1" applyFont="1" applyFill="1" applyAlignment="1">
      <alignment horizontal="right" wrapText="1"/>
    </xf>
    <xf numFmtId="164" fontId="3" fillId="2" borderId="10" xfId="0" applyNumberFormat="1" applyFont="1" applyFill="1" applyBorder="1" applyAlignment="1">
      <alignment horizontal="right" wrapText="1"/>
    </xf>
    <xf numFmtId="0" fontId="2" fillId="2" borderId="12" xfId="0" applyFont="1" applyFill="1" applyBorder="1" applyAlignment="1">
      <alignment wrapText="1"/>
    </xf>
    <xf numFmtId="164" fontId="3" fillId="2" borderId="12" xfId="0" applyNumberFormat="1" applyFont="1" applyFill="1" applyBorder="1" applyAlignment="1">
      <alignment wrapText="1"/>
    </xf>
    <xf numFmtId="0" fontId="2" fillId="2" borderId="13" xfId="0" applyFont="1" applyFill="1" applyBorder="1" applyAlignment="1">
      <alignment horizontal="left" wrapText="1"/>
    </xf>
    <xf numFmtId="0" fontId="2" fillId="2" borderId="5" xfId="0" applyFont="1" applyFill="1" applyBorder="1" applyAlignment="1">
      <alignment horizontal="left" wrapText="1"/>
    </xf>
    <xf numFmtId="1" fontId="2" fillId="2" borderId="5" xfId="0" applyNumberFormat="1" applyFont="1" applyFill="1" applyBorder="1" applyAlignment="1">
      <alignment horizontal="right" wrapText="1"/>
    </xf>
    <xf numFmtId="164" fontId="3" fillId="2" borderId="14" xfId="0" applyNumberFormat="1" applyFont="1" applyFill="1" applyBorder="1" applyAlignment="1">
      <alignment horizontal="right" wrapText="1"/>
    </xf>
    <xf numFmtId="0" fontId="2" fillId="2" borderId="6" xfId="0" applyFont="1" applyFill="1" applyBorder="1" applyAlignment="1">
      <alignment horizontal="left" wrapText="1"/>
    </xf>
    <xf numFmtId="0" fontId="2" fillId="2" borderId="7" xfId="0" applyFont="1" applyFill="1" applyBorder="1" applyAlignment="1">
      <alignment horizontal="left" wrapText="1"/>
    </xf>
    <xf numFmtId="1" fontId="2" fillId="2" borderId="7" xfId="0" applyNumberFormat="1" applyFont="1" applyFill="1" applyBorder="1" applyAlignment="1">
      <alignment horizontal="right" wrapText="1"/>
    </xf>
    <xf numFmtId="164" fontId="3" fillId="2" borderId="8" xfId="0" applyNumberFormat="1" applyFont="1" applyFill="1" applyBorder="1" applyAlignment="1">
      <alignment horizontal="right" wrapText="1"/>
    </xf>
    <xf numFmtId="164" fontId="3" fillId="2" borderId="1" xfId="0" applyNumberFormat="1" applyFont="1" applyFill="1" applyBorder="1" applyAlignment="1">
      <alignment horizontal="right" wrapText="1"/>
    </xf>
    <xf numFmtId="164" fontId="3" fillId="2" borderId="11" xfId="0" applyNumberFormat="1" applyFont="1" applyFill="1" applyBorder="1" applyAlignment="1">
      <alignment horizontal="right" wrapText="1"/>
    </xf>
    <xf numFmtId="0" fontId="2" fillId="2" borderId="11" xfId="0" applyFont="1" applyFill="1" applyBorder="1" applyAlignment="1">
      <alignment horizontal="left" wrapText="1"/>
    </xf>
    <xf numFmtId="1" fontId="2" fillId="2" borderId="11" xfId="0" applyNumberFormat="1" applyFont="1" applyFill="1" applyBorder="1" applyAlignment="1">
      <alignment horizontal="right" wrapText="1"/>
    </xf>
    <xf numFmtId="164" fontId="5" fillId="2" borderId="11" xfId="0" applyNumberFormat="1" applyFont="1" applyFill="1" applyBorder="1" applyAlignment="1">
      <alignment horizontal="left"/>
    </xf>
    <xf numFmtId="0" fontId="3" fillId="2" borderId="6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wrapText="1"/>
    </xf>
    <xf numFmtId="0" fontId="3" fillId="2" borderId="10" xfId="0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3" fillId="2" borderId="11" xfId="0" applyFont="1" applyFill="1" applyBorder="1" applyAlignment="1">
      <alignment horizontal="center" wrapText="1"/>
    </xf>
    <xf numFmtId="0" fontId="6" fillId="2" borderId="5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B412B-5581-4899-B39A-E1289E78528A}">
  <dimension ref="A1:G96"/>
  <sheetViews>
    <sheetView tabSelected="1" topLeftCell="A46" workbookViewId="0">
      <selection activeCell="F55" sqref="F55"/>
    </sheetView>
  </sheetViews>
  <sheetFormatPr defaultColWidth="9" defaultRowHeight="15" x14ac:dyDescent="0.25"/>
  <cols>
    <col min="1" max="1" width="18.5703125" style="5" customWidth="1"/>
    <col min="2" max="2" width="13" style="5" customWidth="1"/>
    <col min="3" max="3" width="12.28515625" style="5" customWidth="1"/>
    <col min="4" max="4" width="11" style="5" customWidth="1"/>
    <col min="5" max="5" width="11.42578125" style="5" customWidth="1"/>
    <col min="6" max="6" width="13.5703125" style="5" customWidth="1"/>
    <col min="7" max="7" width="14.140625" style="5" customWidth="1"/>
  </cols>
  <sheetData>
    <row r="1" spans="1:7" ht="200.25" customHeight="1" x14ac:dyDescent="0.25">
      <c r="A1" s="49" t="s">
        <v>56</v>
      </c>
      <c r="B1" s="49"/>
      <c r="C1" s="49"/>
      <c r="D1" s="49"/>
      <c r="E1" s="49"/>
      <c r="F1" s="49"/>
      <c r="G1" s="49"/>
    </row>
    <row r="2" spans="1:7" s="1" customFormat="1" ht="35.1" customHeight="1" x14ac:dyDescent="0.25">
      <c r="A2" s="42" t="s">
        <v>3</v>
      </c>
      <c r="B2" s="42" t="s">
        <v>2</v>
      </c>
      <c r="C2" s="42" t="s">
        <v>1</v>
      </c>
      <c r="D2" s="42" t="s">
        <v>0</v>
      </c>
      <c r="E2" s="42" t="s">
        <v>5</v>
      </c>
      <c r="F2" s="42" t="s">
        <v>4</v>
      </c>
      <c r="G2" s="42" t="s">
        <v>6</v>
      </c>
    </row>
    <row r="3" spans="1:7" s="1" customFormat="1" ht="57" customHeight="1" x14ac:dyDescent="0.25">
      <c r="A3" s="43"/>
      <c r="B3" s="43"/>
      <c r="C3" s="43"/>
      <c r="D3" s="43"/>
      <c r="E3" s="43"/>
      <c r="F3" s="43"/>
      <c r="G3" s="43"/>
    </row>
    <row r="4" spans="1:7" s="1" customFormat="1" ht="57" customHeight="1" x14ac:dyDescent="0.25">
      <c r="A4" s="44"/>
      <c r="B4" s="44"/>
      <c r="C4" s="44"/>
      <c r="D4" s="44"/>
      <c r="E4" s="44"/>
      <c r="F4" s="44"/>
      <c r="G4" s="44"/>
    </row>
    <row r="5" spans="1:7" s="1" customFormat="1" ht="43.5" customHeight="1" x14ac:dyDescent="0.25">
      <c r="A5" s="2" t="s">
        <v>10</v>
      </c>
      <c r="B5" s="2" t="s">
        <v>9</v>
      </c>
      <c r="C5" s="2" t="s">
        <v>8</v>
      </c>
      <c r="D5" s="2" t="s">
        <v>7</v>
      </c>
      <c r="E5" s="3">
        <v>1</v>
      </c>
      <c r="F5" s="2" t="s">
        <v>59</v>
      </c>
      <c r="G5" s="4">
        <v>707816</v>
      </c>
    </row>
    <row r="6" spans="1:7" s="1" customFormat="1" ht="33" customHeight="1" x14ac:dyDescent="0.25">
      <c r="A6" s="2" t="s">
        <v>13</v>
      </c>
      <c r="B6" s="2" t="s">
        <v>12</v>
      </c>
      <c r="C6" s="2" t="s">
        <v>8</v>
      </c>
      <c r="D6" s="2" t="s">
        <v>11</v>
      </c>
      <c r="E6" s="3">
        <v>1</v>
      </c>
      <c r="F6" s="2" t="s">
        <v>14</v>
      </c>
      <c r="G6" s="4">
        <v>526023</v>
      </c>
    </row>
    <row r="7" spans="1:7" s="1" customFormat="1" ht="33" customHeight="1" x14ac:dyDescent="0.25">
      <c r="A7" s="2" t="s">
        <v>13</v>
      </c>
      <c r="B7" s="2" t="s">
        <v>12</v>
      </c>
      <c r="C7" s="2" t="s">
        <v>8</v>
      </c>
      <c r="D7" s="2" t="s">
        <v>11</v>
      </c>
      <c r="E7" s="3">
        <v>1</v>
      </c>
      <c r="F7" s="2" t="s">
        <v>15</v>
      </c>
      <c r="G7" s="4">
        <v>515709</v>
      </c>
    </row>
    <row r="8" spans="1:7" s="1" customFormat="1" ht="33" customHeight="1" x14ac:dyDescent="0.25">
      <c r="A8" s="9" t="s">
        <v>13</v>
      </c>
      <c r="B8" s="9" t="s">
        <v>12</v>
      </c>
      <c r="C8" s="9" t="s">
        <v>8</v>
      </c>
      <c r="D8" s="9" t="s">
        <v>11</v>
      </c>
      <c r="E8" s="10">
        <v>1</v>
      </c>
      <c r="F8" s="9" t="s">
        <v>16</v>
      </c>
      <c r="G8" s="11">
        <v>505597</v>
      </c>
    </row>
    <row r="9" spans="1:7" s="1" customFormat="1" ht="33" customHeight="1" x14ac:dyDescent="0.25">
      <c r="A9" s="17"/>
      <c r="B9" s="17"/>
      <c r="C9" s="17"/>
      <c r="D9" s="17"/>
      <c r="E9" s="18"/>
      <c r="F9" s="17"/>
      <c r="G9" s="22">
        <f>SUM(G5:G8)</f>
        <v>2255145</v>
      </c>
    </row>
    <row r="10" spans="1:7" s="1" customFormat="1" ht="33" customHeight="1" x14ac:dyDescent="0.25">
      <c r="A10" s="48" t="s">
        <v>50</v>
      </c>
      <c r="B10" s="48"/>
      <c r="C10" s="48"/>
      <c r="D10" s="48"/>
      <c r="E10" s="48"/>
      <c r="F10" s="48"/>
      <c r="G10" s="48"/>
    </row>
    <row r="11" spans="1:7" s="1" customFormat="1" ht="33" customHeight="1" x14ac:dyDescent="0.25">
      <c r="A11" s="2" t="s">
        <v>19</v>
      </c>
      <c r="B11" s="2" t="s">
        <v>51</v>
      </c>
      <c r="C11" s="2" t="s">
        <v>52</v>
      </c>
      <c r="D11" s="2" t="s">
        <v>21</v>
      </c>
      <c r="E11" s="3">
        <v>1</v>
      </c>
      <c r="F11" s="2" t="s">
        <v>53</v>
      </c>
      <c r="G11" s="4">
        <v>343741</v>
      </c>
    </row>
    <row r="12" spans="1:7" s="1" customFormat="1" ht="33" customHeight="1" x14ac:dyDescent="0.25">
      <c r="A12" s="2" t="s">
        <v>25</v>
      </c>
      <c r="B12" s="2" t="s">
        <v>30</v>
      </c>
      <c r="C12" s="2" t="s">
        <v>22</v>
      </c>
      <c r="D12" s="2" t="s">
        <v>29</v>
      </c>
      <c r="E12" s="3">
        <v>1</v>
      </c>
      <c r="F12" s="2" t="s">
        <v>31</v>
      </c>
      <c r="G12" s="4">
        <v>263131</v>
      </c>
    </row>
    <row r="13" spans="1:7" s="1" customFormat="1" ht="33" customHeight="1" x14ac:dyDescent="0.25">
      <c r="A13" s="2" t="s">
        <v>25</v>
      </c>
      <c r="B13" s="2" t="s">
        <v>30</v>
      </c>
      <c r="C13" s="2" t="s">
        <v>22</v>
      </c>
      <c r="D13" s="2" t="s">
        <v>29</v>
      </c>
      <c r="E13" s="3">
        <v>1</v>
      </c>
      <c r="F13" s="2" t="s">
        <v>55</v>
      </c>
      <c r="G13" s="4">
        <v>302255</v>
      </c>
    </row>
    <row r="14" spans="1:7" s="1" customFormat="1" ht="33" customHeight="1" x14ac:dyDescent="0.25">
      <c r="A14" s="2" t="s">
        <v>25</v>
      </c>
      <c r="B14" s="2" t="s">
        <v>30</v>
      </c>
      <c r="C14" s="2" t="s">
        <v>22</v>
      </c>
      <c r="D14" s="2" t="s">
        <v>29</v>
      </c>
      <c r="E14" s="3">
        <v>1</v>
      </c>
      <c r="F14" s="2" t="s">
        <v>54</v>
      </c>
      <c r="G14" s="4">
        <v>302255</v>
      </c>
    </row>
    <row r="15" spans="1:7" s="1" customFormat="1" ht="33" customHeight="1" x14ac:dyDescent="0.25">
      <c r="A15" s="19"/>
      <c r="B15" s="20"/>
      <c r="C15" s="20"/>
      <c r="D15" s="20"/>
      <c r="E15" s="21"/>
      <c r="F15" s="20"/>
      <c r="G15" s="23">
        <f>SUM(G11:G14)</f>
        <v>1211382</v>
      </c>
    </row>
    <row r="16" spans="1:7" s="1" customFormat="1" ht="33" customHeight="1" x14ac:dyDescent="0.25">
      <c r="A16" s="45" t="s">
        <v>32</v>
      </c>
      <c r="B16" s="46"/>
      <c r="C16" s="46"/>
      <c r="D16" s="46"/>
      <c r="E16" s="46"/>
      <c r="F16" s="46"/>
      <c r="G16" s="46"/>
    </row>
    <row r="17" spans="1:7" s="1" customFormat="1" ht="33" customHeight="1" x14ac:dyDescent="0.25">
      <c r="A17" s="2" t="s">
        <v>19</v>
      </c>
      <c r="B17" s="2" t="s">
        <v>18</v>
      </c>
      <c r="C17" s="2" t="s">
        <v>8</v>
      </c>
      <c r="D17" s="2" t="s">
        <v>17</v>
      </c>
      <c r="E17" s="3">
        <v>1</v>
      </c>
      <c r="F17" s="2" t="s">
        <v>15</v>
      </c>
      <c r="G17" s="4">
        <v>383255</v>
      </c>
    </row>
    <row r="18" spans="1:7" s="1" customFormat="1" ht="33" customHeight="1" x14ac:dyDescent="0.25">
      <c r="A18" s="2" t="s">
        <v>25</v>
      </c>
      <c r="B18" s="2" t="s">
        <v>24</v>
      </c>
      <c r="C18" s="2" t="s">
        <v>8</v>
      </c>
      <c r="D18" s="2" t="s">
        <v>21</v>
      </c>
      <c r="E18" s="3">
        <v>1</v>
      </c>
      <c r="F18" s="2" t="s">
        <v>26</v>
      </c>
      <c r="G18" s="4">
        <v>350615</v>
      </c>
    </row>
    <row r="19" spans="1:7" s="1" customFormat="1" ht="33" customHeight="1" x14ac:dyDescent="0.25">
      <c r="A19" s="2" t="s">
        <v>25</v>
      </c>
      <c r="B19" s="2" t="s">
        <v>24</v>
      </c>
      <c r="C19" s="2" t="s">
        <v>8</v>
      </c>
      <c r="D19" s="2" t="s">
        <v>21</v>
      </c>
      <c r="E19" s="3">
        <v>1</v>
      </c>
      <c r="F19" s="2" t="s">
        <v>28</v>
      </c>
      <c r="G19" s="4">
        <v>311336</v>
      </c>
    </row>
    <row r="20" spans="1:7" s="1" customFormat="1" ht="33" customHeight="1" x14ac:dyDescent="0.25">
      <c r="A20" s="16" t="s">
        <v>33</v>
      </c>
      <c r="B20" s="16" t="s">
        <v>34</v>
      </c>
      <c r="C20" s="16"/>
      <c r="D20" s="16"/>
      <c r="E20" s="16">
        <v>1</v>
      </c>
      <c r="F20" s="16" t="s">
        <v>58</v>
      </c>
      <c r="G20" s="16">
        <v>350615</v>
      </c>
    </row>
    <row r="21" spans="1:7" s="1" customFormat="1" ht="33" customHeight="1" x14ac:dyDescent="0.25">
      <c r="A21" s="16" t="s">
        <v>35</v>
      </c>
      <c r="B21" s="16" t="s">
        <v>34</v>
      </c>
      <c r="C21" s="16"/>
      <c r="D21" s="16"/>
      <c r="E21" s="16"/>
      <c r="F21" s="16" t="s">
        <v>58</v>
      </c>
      <c r="G21" s="16"/>
    </row>
    <row r="22" spans="1:7" s="1" customFormat="1" ht="33" customHeight="1" x14ac:dyDescent="0.25">
      <c r="A22" s="24"/>
      <c r="B22" s="24"/>
      <c r="C22" s="24"/>
      <c r="D22" s="24"/>
      <c r="E22" s="24"/>
      <c r="F22" s="24"/>
      <c r="G22" s="25">
        <f>SUM(G17:G21)</f>
        <v>1395821</v>
      </c>
    </row>
    <row r="23" spans="1:7" s="1" customFormat="1" ht="33" customHeight="1" x14ac:dyDescent="0.25">
      <c r="A23" s="47" t="s">
        <v>37</v>
      </c>
      <c r="B23" s="47"/>
      <c r="C23" s="47"/>
      <c r="D23" s="47"/>
      <c r="E23" s="47"/>
      <c r="F23" s="47"/>
      <c r="G23" s="47"/>
    </row>
    <row r="24" spans="1:7" s="1" customFormat="1" ht="33" customHeight="1" x14ac:dyDescent="0.25">
      <c r="A24" s="2" t="s">
        <v>19</v>
      </c>
      <c r="B24" s="2" t="s">
        <v>18</v>
      </c>
      <c r="C24" s="2" t="s">
        <v>8</v>
      </c>
      <c r="D24" s="2" t="s">
        <v>17</v>
      </c>
      <c r="E24" s="3">
        <v>1</v>
      </c>
      <c r="F24" s="2" t="s">
        <v>20</v>
      </c>
      <c r="G24" s="4">
        <v>368373</v>
      </c>
    </row>
    <row r="25" spans="1:7" s="1" customFormat="1" ht="32.25" customHeight="1" x14ac:dyDescent="0.25">
      <c r="A25" s="2" t="s">
        <v>25</v>
      </c>
      <c r="B25" s="2" t="s">
        <v>24</v>
      </c>
      <c r="C25" s="2" t="s">
        <v>8</v>
      </c>
      <c r="D25" s="2" t="s">
        <v>21</v>
      </c>
      <c r="E25" s="3">
        <v>1</v>
      </c>
      <c r="F25" s="2" t="s">
        <v>27</v>
      </c>
      <c r="G25" s="4">
        <v>305232</v>
      </c>
    </row>
    <row r="26" spans="1:7" s="1" customFormat="1" ht="33" customHeight="1" x14ac:dyDescent="0.25">
      <c r="A26" s="2" t="s">
        <v>25</v>
      </c>
      <c r="B26" s="2" t="s">
        <v>24</v>
      </c>
      <c r="C26" s="2" t="s">
        <v>8</v>
      </c>
      <c r="D26" s="2" t="s">
        <v>21</v>
      </c>
      <c r="E26" s="3">
        <v>1</v>
      </c>
      <c r="F26" s="2" t="s">
        <v>27</v>
      </c>
      <c r="G26" s="4">
        <v>305232</v>
      </c>
    </row>
    <row r="27" spans="1:7" s="1" customFormat="1" ht="33" customHeight="1" x14ac:dyDescent="0.25">
      <c r="A27" s="2" t="s">
        <v>25</v>
      </c>
      <c r="B27" s="2" t="s">
        <v>24</v>
      </c>
      <c r="C27" s="2" t="s">
        <v>8</v>
      </c>
      <c r="D27" s="2" t="s">
        <v>21</v>
      </c>
      <c r="E27" s="3">
        <v>1</v>
      </c>
      <c r="F27" s="2" t="s">
        <v>27</v>
      </c>
      <c r="G27" s="4">
        <v>305232</v>
      </c>
    </row>
    <row r="28" spans="1:7" s="1" customFormat="1" ht="33" customHeight="1" x14ac:dyDescent="0.25">
      <c r="A28" s="6" t="s">
        <v>35</v>
      </c>
      <c r="B28" s="6" t="s">
        <v>34</v>
      </c>
      <c r="C28" s="6"/>
      <c r="D28" s="6"/>
      <c r="E28" s="7">
        <v>1</v>
      </c>
      <c r="F28" s="6" t="s">
        <v>58</v>
      </c>
      <c r="G28" s="8">
        <v>350615</v>
      </c>
    </row>
    <row r="29" spans="1:7" s="1" customFormat="1" ht="33" customHeight="1" x14ac:dyDescent="0.25">
      <c r="A29" s="6" t="s">
        <v>35</v>
      </c>
      <c r="B29" s="6"/>
      <c r="C29" s="6"/>
      <c r="D29" s="6"/>
      <c r="E29" s="7"/>
      <c r="F29" s="6"/>
      <c r="G29" s="8"/>
    </row>
    <row r="30" spans="1:7" s="1" customFormat="1" ht="33" customHeight="1" x14ac:dyDescent="0.25">
      <c r="A30" s="26"/>
      <c r="B30" s="27"/>
      <c r="C30" s="27"/>
      <c r="D30" s="27"/>
      <c r="E30" s="28"/>
      <c r="F30" s="27"/>
      <c r="G30" s="29">
        <f>SUM(G24:G29)</f>
        <v>1634684</v>
      </c>
    </row>
    <row r="31" spans="1:7" s="1" customFormat="1" ht="33" customHeight="1" x14ac:dyDescent="0.25">
      <c r="A31" s="39" t="s">
        <v>38</v>
      </c>
      <c r="B31" s="40"/>
      <c r="C31" s="40"/>
      <c r="D31" s="40"/>
      <c r="E31" s="40"/>
      <c r="F31" s="40"/>
      <c r="G31" s="41"/>
    </row>
    <row r="32" spans="1:7" s="1" customFormat="1" ht="33" customHeight="1" x14ac:dyDescent="0.25">
      <c r="A32" s="2" t="s">
        <v>19</v>
      </c>
      <c r="B32" s="2" t="s">
        <v>18</v>
      </c>
      <c r="C32" s="2" t="s">
        <v>8</v>
      </c>
      <c r="D32" s="2" t="s">
        <v>17</v>
      </c>
      <c r="E32" s="3">
        <v>1</v>
      </c>
      <c r="F32" s="2" t="s">
        <v>16</v>
      </c>
      <c r="G32" s="4">
        <v>375741</v>
      </c>
    </row>
    <row r="33" spans="1:7" s="1" customFormat="1" ht="33" customHeight="1" x14ac:dyDescent="0.25">
      <c r="A33" s="2" t="s">
        <v>25</v>
      </c>
      <c r="B33" s="2" t="s">
        <v>24</v>
      </c>
      <c r="C33" s="2" t="s">
        <v>8</v>
      </c>
      <c r="D33" s="2" t="s">
        <v>21</v>
      </c>
      <c r="E33" s="3">
        <v>1</v>
      </c>
      <c r="F33" s="2" t="s">
        <v>26</v>
      </c>
      <c r="G33" s="4">
        <v>350615</v>
      </c>
    </row>
    <row r="34" spans="1:7" s="1" customFormat="1" ht="33" customHeight="1" x14ac:dyDescent="0.25">
      <c r="A34" s="2" t="s">
        <v>25</v>
      </c>
      <c r="B34" s="2" t="s">
        <v>24</v>
      </c>
      <c r="C34" s="2" t="s">
        <v>8</v>
      </c>
      <c r="D34" s="2" t="s">
        <v>21</v>
      </c>
      <c r="E34" s="3">
        <v>1</v>
      </c>
      <c r="F34" s="2" t="s">
        <v>27</v>
      </c>
      <c r="G34" s="4">
        <v>305232</v>
      </c>
    </row>
    <row r="35" spans="1:7" s="1" customFormat="1" ht="33" customHeight="1" x14ac:dyDescent="0.25">
      <c r="A35" s="2" t="s">
        <v>33</v>
      </c>
      <c r="B35" s="2" t="s">
        <v>34</v>
      </c>
      <c r="C35" s="2"/>
      <c r="D35" s="2"/>
      <c r="E35" s="3">
        <v>1</v>
      </c>
      <c r="F35" s="2" t="s">
        <v>26</v>
      </c>
      <c r="G35" s="4">
        <v>350615</v>
      </c>
    </row>
    <row r="36" spans="1:7" s="1" customFormat="1" ht="33" customHeight="1" x14ac:dyDescent="0.25">
      <c r="A36" s="30"/>
      <c r="B36" s="31"/>
      <c r="C36" s="31"/>
      <c r="D36" s="31"/>
      <c r="E36" s="32"/>
      <c r="F36" s="31"/>
      <c r="G36" s="33">
        <f>SUM(G32:G35)</f>
        <v>1382203</v>
      </c>
    </row>
    <row r="37" spans="1:7" s="1" customFormat="1" ht="33" customHeight="1" x14ac:dyDescent="0.25">
      <c r="A37" s="39" t="s">
        <v>39</v>
      </c>
      <c r="B37" s="40"/>
      <c r="C37" s="40"/>
      <c r="D37" s="40"/>
      <c r="E37" s="40"/>
      <c r="F37" s="40"/>
      <c r="G37" s="41"/>
    </row>
    <row r="38" spans="1:7" s="1" customFormat="1" ht="33" customHeight="1" x14ac:dyDescent="0.25">
      <c r="A38" s="2" t="s">
        <v>19</v>
      </c>
      <c r="B38" s="2" t="s">
        <v>18</v>
      </c>
      <c r="C38" s="2" t="s">
        <v>8</v>
      </c>
      <c r="D38" s="2" t="s">
        <v>17</v>
      </c>
      <c r="E38" s="3">
        <v>1</v>
      </c>
      <c r="F38" s="2" t="s">
        <v>28</v>
      </c>
      <c r="G38" s="4">
        <v>361150</v>
      </c>
    </row>
    <row r="39" spans="1:7" s="1" customFormat="1" ht="33" customHeight="1" x14ac:dyDescent="0.25">
      <c r="A39" s="2" t="s">
        <v>25</v>
      </c>
      <c r="B39" s="2" t="s">
        <v>24</v>
      </c>
      <c r="C39" s="2" t="s">
        <v>8</v>
      </c>
      <c r="D39" s="2" t="s">
        <v>21</v>
      </c>
      <c r="E39" s="3">
        <v>1</v>
      </c>
      <c r="F39" s="2" t="s">
        <v>27</v>
      </c>
      <c r="G39" s="4">
        <v>305232</v>
      </c>
    </row>
    <row r="40" spans="1:7" s="1" customFormat="1" ht="33" customHeight="1" x14ac:dyDescent="0.25">
      <c r="A40" s="2" t="s">
        <v>25</v>
      </c>
      <c r="B40" s="2" t="s">
        <v>24</v>
      </c>
      <c r="C40" s="2" t="s">
        <v>8</v>
      </c>
      <c r="D40" s="2" t="s">
        <v>21</v>
      </c>
      <c r="E40" s="3">
        <v>1</v>
      </c>
      <c r="F40" s="2" t="s">
        <v>27</v>
      </c>
      <c r="G40" s="4">
        <v>305232</v>
      </c>
    </row>
    <row r="41" spans="1:7" s="1" customFormat="1" ht="33" customHeight="1" x14ac:dyDescent="0.25">
      <c r="A41" s="2" t="s">
        <v>25</v>
      </c>
      <c r="B41" s="2" t="s">
        <v>24</v>
      </c>
      <c r="C41" s="2" t="s">
        <v>8</v>
      </c>
      <c r="D41" s="2" t="s">
        <v>21</v>
      </c>
      <c r="E41" s="3">
        <v>1</v>
      </c>
      <c r="F41" s="2" t="s">
        <v>28</v>
      </c>
      <c r="G41" s="4">
        <v>311336</v>
      </c>
    </row>
    <row r="42" spans="1:7" s="1" customFormat="1" ht="33" customHeight="1" x14ac:dyDescent="0.25">
      <c r="A42" s="30"/>
      <c r="B42" s="31"/>
      <c r="C42" s="31"/>
      <c r="D42" s="31"/>
      <c r="E42" s="32"/>
      <c r="F42" s="31"/>
      <c r="G42" s="33">
        <f>SUM(G38:G41)</f>
        <v>1282950</v>
      </c>
    </row>
    <row r="43" spans="1:7" s="1" customFormat="1" ht="33" customHeight="1" x14ac:dyDescent="0.25">
      <c r="A43" s="39" t="s">
        <v>40</v>
      </c>
      <c r="B43" s="40"/>
      <c r="C43" s="40"/>
      <c r="D43" s="40"/>
      <c r="E43" s="40"/>
      <c r="F43" s="40"/>
      <c r="G43" s="41"/>
    </row>
    <row r="44" spans="1:7" s="1" customFormat="1" ht="33" customHeight="1" x14ac:dyDescent="0.25">
      <c r="A44" s="2" t="s">
        <v>19</v>
      </c>
      <c r="B44" s="2" t="s">
        <v>18</v>
      </c>
      <c r="C44" s="2" t="s">
        <v>8</v>
      </c>
      <c r="D44" s="2" t="s">
        <v>17</v>
      </c>
      <c r="E44" s="3">
        <v>1</v>
      </c>
      <c r="F44" s="2" t="s">
        <v>26</v>
      </c>
      <c r="G44" s="4">
        <v>406714</v>
      </c>
    </row>
    <row r="45" spans="1:7" s="1" customFormat="1" ht="33" customHeight="1" x14ac:dyDescent="0.25">
      <c r="A45" s="2" t="s">
        <v>25</v>
      </c>
      <c r="B45" s="2" t="s">
        <v>24</v>
      </c>
      <c r="C45" s="2" t="s">
        <v>8</v>
      </c>
      <c r="D45" s="2" t="s">
        <v>21</v>
      </c>
      <c r="E45" s="3">
        <v>1</v>
      </c>
      <c r="F45" s="2" t="s">
        <v>26</v>
      </c>
      <c r="G45" s="4">
        <v>350615</v>
      </c>
    </row>
    <row r="46" spans="1:7" s="1" customFormat="1" ht="33" customHeight="1" x14ac:dyDescent="0.25">
      <c r="A46" s="2" t="s">
        <v>25</v>
      </c>
      <c r="B46" s="2" t="s">
        <v>24</v>
      </c>
      <c r="C46" s="2" t="s">
        <v>8</v>
      </c>
      <c r="D46" s="2" t="s">
        <v>21</v>
      </c>
      <c r="E46" s="3">
        <v>1</v>
      </c>
      <c r="F46" s="2" t="s">
        <v>26</v>
      </c>
      <c r="G46" s="4">
        <v>350615</v>
      </c>
    </row>
    <row r="47" spans="1:7" s="1" customFormat="1" ht="33" customHeight="1" x14ac:dyDescent="0.25">
      <c r="A47" s="2" t="s">
        <v>25</v>
      </c>
      <c r="B47" s="2" t="s">
        <v>24</v>
      </c>
      <c r="C47" s="2" t="s">
        <v>8</v>
      </c>
      <c r="D47" s="2" t="s">
        <v>21</v>
      </c>
      <c r="E47" s="3">
        <v>1</v>
      </c>
      <c r="F47" s="2" t="s">
        <v>27</v>
      </c>
      <c r="G47" s="4">
        <v>305232</v>
      </c>
    </row>
    <row r="48" spans="1:7" s="1" customFormat="1" ht="33" customHeight="1" x14ac:dyDescent="0.25">
      <c r="A48" s="2" t="s">
        <v>33</v>
      </c>
      <c r="B48" s="2" t="s">
        <v>34</v>
      </c>
      <c r="C48" s="2"/>
      <c r="D48" s="2"/>
      <c r="E48" s="3">
        <v>1</v>
      </c>
      <c r="F48" s="2" t="s">
        <v>26</v>
      </c>
      <c r="G48" s="4">
        <v>350615</v>
      </c>
    </row>
    <row r="49" spans="1:7" s="1" customFormat="1" ht="33" customHeight="1" x14ac:dyDescent="0.25">
      <c r="A49" s="30"/>
      <c r="B49" s="31"/>
      <c r="C49" s="31"/>
      <c r="D49" s="31"/>
      <c r="E49" s="32"/>
      <c r="F49" s="31"/>
      <c r="G49" s="33">
        <f>SUM(G44:G48)</f>
        <v>1763791</v>
      </c>
    </row>
    <row r="50" spans="1:7" s="1" customFormat="1" ht="33" customHeight="1" x14ac:dyDescent="0.25">
      <c r="A50" s="39" t="s">
        <v>41</v>
      </c>
      <c r="B50" s="40"/>
      <c r="C50" s="40"/>
      <c r="D50" s="40"/>
      <c r="E50" s="40"/>
      <c r="F50" s="40"/>
      <c r="G50" s="41"/>
    </row>
    <row r="51" spans="1:7" s="1" customFormat="1" ht="33" customHeight="1" x14ac:dyDescent="0.25">
      <c r="A51" s="2" t="s">
        <v>19</v>
      </c>
      <c r="B51" s="2" t="s">
        <v>18</v>
      </c>
      <c r="C51" s="2" t="s">
        <v>8</v>
      </c>
      <c r="D51" s="2" t="s">
        <v>17</v>
      </c>
      <c r="E51" s="3">
        <v>1</v>
      </c>
      <c r="F51" s="2" t="s">
        <v>15</v>
      </c>
      <c r="G51" s="4">
        <v>383255</v>
      </c>
    </row>
    <row r="52" spans="1:7" s="1" customFormat="1" ht="33" customHeight="1" x14ac:dyDescent="0.25">
      <c r="A52" s="2" t="s">
        <v>25</v>
      </c>
      <c r="B52" s="2" t="s">
        <v>24</v>
      </c>
      <c r="C52" s="2" t="s">
        <v>8</v>
      </c>
      <c r="D52" s="2" t="s">
        <v>21</v>
      </c>
      <c r="E52" s="3">
        <v>1</v>
      </c>
      <c r="F52" s="2" t="s">
        <v>26</v>
      </c>
      <c r="G52" s="4">
        <v>350615</v>
      </c>
    </row>
    <row r="53" spans="1:7" s="1" customFormat="1" ht="33" customHeight="1" x14ac:dyDescent="0.25">
      <c r="A53" s="2" t="s">
        <v>25</v>
      </c>
      <c r="B53" s="2" t="s">
        <v>24</v>
      </c>
      <c r="C53" s="2" t="s">
        <v>8</v>
      </c>
      <c r="D53" s="2" t="s">
        <v>21</v>
      </c>
      <c r="E53" s="3">
        <v>1</v>
      </c>
      <c r="F53" s="2" t="s">
        <v>15</v>
      </c>
      <c r="G53" s="4">
        <v>330393</v>
      </c>
    </row>
    <row r="54" spans="1:7" s="1" customFormat="1" ht="33" customHeight="1" x14ac:dyDescent="0.25">
      <c r="A54" s="2" t="s">
        <v>25</v>
      </c>
      <c r="B54" s="2" t="s">
        <v>24</v>
      </c>
      <c r="C54" s="2" t="s">
        <v>60</v>
      </c>
      <c r="D54" s="2" t="s">
        <v>21</v>
      </c>
      <c r="E54" s="3">
        <v>1</v>
      </c>
      <c r="F54" s="2" t="s">
        <v>31</v>
      </c>
      <c r="G54" s="4"/>
    </row>
    <row r="55" spans="1:7" s="1" customFormat="1" ht="33" customHeight="1" x14ac:dyDescent="0.25">
      <c r="A55" s="30"/>
      <c r="B55" s="31"/>
      <c r="C55" s="31"/>
      <c r="D55" s="31"/>
      <c r="E55" s="32"/>
      <c r="F55" s="31"/>
      <c r="G55" s="33">
        <f>SUM(G51:G54)</f>
        <v>1064263</v>
      </c>
    </row>
    <row r="56" spans="1:7" s="1" customFormat="1" ht="33" customHeight="1" x14ac:dyDescent="0.25">
      <c r="A56" s="39" t="s">
        <v>42</v>
      </c>
      <c r="B56" s="40"/>
      <c r="C56" s="40"/>
      <c r="D56" s="40"/>
      <c r="E56" s="40"/>
      <c r="F56" s="40"/>
      <c r="G56" s="41"/>
    </row>
    <row r="57" spans="1:7" s="1" customFormat="1" ht="33" customHeight="1" x14ac:dyDescent="0.25">
      <c r="A57" s="2" t="s">
        <v>19</v>
      </c>
      <c r="B57" s="2" t="s">
        <v>18</v>
      </c>
      <c r="C57" s="2" t="s">
        <v>8</v>
      </c>
      <c r="D57" s="2" t="s">
        <v>17</v>
      </c>
      <c r="E57" s="3">
        <v>1</v>
      </c>
      <c r="F57" s="2" t="s">
        <v>20</v>
      </c>
      <c r="G57" s="4">
        <v>368373</v>
      </c>
    </row>
    <row r="58" spans="1:7" s="1" customFormat="1" ht="33" customHeight="1" x14ac:dyDescent="0.25">
      <c r="A58" s="2" t="s">
        <v>25</v>
      </c>
      <c r="B58" s="2" t="s">
        <v>24</v>
      </c>
      <c r="C58" s="2" t="s">
        <v>8</v>
      </c>
      <c r="D58" s="2" t="s">
        <v>21</v>
      </c>
      <c r="E58" s="3">
        <v>1</v>
      </c>
      <c r="F58" s="2" t="s">
        <v>27</v>
      </c>
      <c r="G58" s="4">
        <v>305232</v>
      </c>
    </row>
    <row r="59" spans="1:7" s="1" customFormat="1" ht="33" customHeight="1" x14ac:dyDescent="0.25">
      <c r="A59" s="2" t="s">
        <v>25</v>
      </c>
      <c r="B59" s="2" t="s">
        <v>24</v>
      </c>
      <c r="C59" s="2" t="s">
        <v>8</v>
      </c>
      <c r="D59" s="2" t="s">
        <v>21</v>
      </c>
      <c r="E59" s="3">
        <v>1</v>
      </c>
      <c r="F59" s="2" t="s">
        <v>23</v>
      </c>
      <c r="G59" s="4">
        <v>343741</v>
      </c>
    </row>
    <row r="60" spans="1:7" s="1" customFormat="1" ht="33" customHeight="1" x14ac:dyDescent="0.25">
      <c r="A60" s="2" t="s">
        <v>43</v>
      </c>
      <c r="B60" s="2" t="s">
        <v>34</v>
      </c>
      <c r="C60" s="2"/>
      <c r="D60" s="2"/>
      <c r="E60" s="3">
        <v>1</v>
      </c>
      <c r="F60" s="2" t="s">
        <v>58</v>
      </c>
      <c r="G60" s="4">
        <v>350615</v>
      </c>
    </row>
    <row r="61" spans="1:7" s="1" customFormat="1" ht="33" customHeight="1" x14ac:dyDescent="0.25">
      <c r="A61" s="2"/>
      <c r="B61" s="2"/>
      <c r="C61" s="2"/>
      <c r="D61" s="2"/>
      <c r="E61" s="3"/>
      <c r="F61" s="2"/>
      <c r="G61" s="34">
        <f>SUM(G57:G60)</f>
        <v>1367961</v>
      </c>
    </row>
    <row r="62" spans="1:7" s="1" customFormat="1" ht="33" customHeight="1" x14ac:dyDescent="0.25">
      <c r="A62" s="39" t="s">
        <v>44</v>
      </c>
      <c r="B62" s="40"/>
      <c r="C62" s="40"/>
      <c r="D62" s="40"/>
      <c r="E62" s="40"/>
      <c r="F62" s="40"/>
      <c r="G62" s="41"/>
    </row>
    <row r="63" spans="1:7" s="1" customFormat="1" ht="33" customHeight="1" x14ac:dyDescent="0.25">
      <c r="A63" s="2" t="s">
        <v>19</v>
      </c>
      <c r="B63" s="2" t="s">
        <v>18</v>
      </c>
      <c r="C63" s="2" t="s">
        <v>8</v>
      </c>
      <c r="D63" s="2" t="s">
        <v>17</v>
      </c>
      <c r="E63" s="3">
        <v>1</v>
      </c>
      <c r="F63" s="2" t="s">
        <v>20</v>
      </c>
      <c r="G63" s="4">
        <v>368373</v>
      </c>
    </row>
    <row r="64" spans="1:7" s="1" customFormat="1" ht="33" customHeight="1" x14ac:dyDescent="0.25">
      <c r="A64" s="2" t="s">
        <v>25</v>
      </c>
      <c r="B64" s="2" t="s">
        <v>24</v>
      </c>
      <c r="C64" s="2" t="s">
        <v>8</v>
      </c>
      <c r="D64" s="2" t="s">
        <v>21</v>
      </c>
      <c r="E64" s="3">
        <v>1</v>
      </c>
      <c r="F64" s="2" t="s">
        <v>15</v>
      </c>
      <c r="G64" s="4">
        <v>330393</v>
      </c>
    </row>
    <row r="65" spans="1:7" s="1" customFormat="1" ht="33" customHeight="1" x14ac:dyDescent="0.25">
      <c r="A65" s="2" t="s">
        <v>25</v>
      </c>
      <c r="B65" s="2" t="s">
        <v>24</v>
      </c>
      <c r="C65" s="2" t="s">
        <v>8</v>
      </c>
      <c r="D65" s="2" t="s">
        <v>21</v>
      </c>
      <c r="E65" s="3">
        <v>1</v>
      </c>
      <c r="F65" s="2" t="s">
        <v>27</v>
      </c>
      <c r="G65" s="4">
        <v>305232</v>
      </c>
    </row>
    <row r="66" spans="1:7" s="1" customFormat="1" ht="33" customHeight="1" x14ac:dyDescent="0.25">
      <c r="A66" s="2" t="s">
        <v>36</v>
      </c>
      <c r="B66" s="2"/>
      <c r="C66" s="2"/>
      <c r="D66" s="2"/>
      <c r="E66" s="3"/>
      <c r="F66" s="2"/>
      <c r="G66" s="4"/>
    </row>
    <row r="67" spans="1:7" s="1" customFormat="1" ht="33" customHeight="1" x14ac:dyDescent="0.25">
      <c r="A67" s="30"/>
      <c r="B67" s="31"/>
      <c r="C67" s="31"/>
      <c r="D67" s="31"/>
      <c r="E67" s="32"/>
      <c r="F67" s="31"/>
      <c r="G67" s="33">
        <f>SUM(G63:G66)</f>
        <v>1003998</v>
      </c>
    </row>
    <row r="68" spans="1:7" s="1" customFormat="1" ht="33" customHeight="1" x14ac:dyDescent="0.25">
      <c r="A68" s="39" t="s">
        <v>45</v>
      </c>
      <c r="B68" s="40"/>
      <c r="C68" s="40"/>
      <c r="D68" s="40"/>
      <c r="E68" s="40"/>
      <c r="F68" s="40"/>
      <c r="G68" s="41"/>
    </row>
    <row r="69" spans="1:7" s="1" customFormat="1" ht="33" customHeight="1" x14ac:dyDescent="0.25">
      <c r="A69" s="2" t="s">
        <v>19</v>
      </c>
      <c r="B69" s="2" t="s">
        <v>18</v>
      </c>
      <c r="C69" s="2" t="s">
        <v>8</v>
      </c>
      <c r="D69" s="2" t="s">
        <v>17</v>
      </c>
      <c r="E69" s="3">
        <v>1</v>
      </c>
      <c r="F69" s="2" t="s">
        <v>26</v>
      </c>
      <c r="G69" s="4">
        <v>406714</v>
      </c>
    </row>
    <row r="70" spans="1:7" s="1" customFormat="1" ht="33" customHeight="1" x14ac:dyDescent="0.25">
      <c r="A70" s="2" t="s">
        <v>25</v>
      </c>
      <c r="B70" s="2" t="s">
        <v>24</v>
      </c>
      <c r="C70" s="2" t="s">
        <v>8</v>
      </c>
      <c r="D70" s="2" t="s">
        <v>21</v>
      </c>
      <c r="E70" s="3">
        <v>1</v>
      </c>
      <c r="F70" s="2" t="s">
        <v>26</v>
      </c>
      <c r="G70" s="4">
        <v>350615</v>
      </c>
    </row>
    <row r="71" spans="1:7" s="1" customFormat="1" ht="33" customHeight="1" x14ac:dyDescent="0.25">
      <c r="A71" s="2" t="s">
        <v>25</v>
      </c>
      <c r="B71" s="2" t="s">
        <v>24</v>
      </c>
      <c r="C71" s="2" t="s">
        <v>8</v>
      </c>
      <c r="D71" s="2" t="s">
        <v>21</v>
      </c>
      <c r="E71" s="3">
        <v>1</v>
      </c>
      <c r="F71" s="2" t="s">
        <v>27</v>
      </c>
      <c r="G71" s="4">
        <v>305232</v>
      </c>
    </row>
    <row r="72" spans="1:7" s="1" customFormat="1" ht="33" customHeight="1" x14ac:dyDescent="0.25">
      <c r="A72" s="2" t="s">
        <v>33</v>
      </c>
      <c r="B72" s="2" t="s">
        <v>46</v>
      </c>
      <c r="C72" s="2"/>
      <c r="D72" s="2"/>
      <c r="E72" s="3">
        <v>1</v>
      </c>
      <c r="F72" s="2" t="s">
        <v>58</v>
      </c>
      <c r="G72" s="4">
        <v>350615</v>
      </c>
    </row>
    <row r="73" spans="1:7" s="1" customFormat="1" ht="33" customHeight="1" x14ac:dyDescent="0.25">
      <c r="A73" s="2" t="s">
        <v>36</v>
      </c>
      <c r="B73" s="2"/>
      <c r="C73" s="2"/>
      <c r="D73" s="2"/>
      <c r="E73" s="3"/>
      <c r="F73" s="2"/>
      <c r="G73" s="4"/>
    </row>
    <row r="74" spans="1:7" s="1" customFormat="1" ht="33" customHeight="1" x14ac:dyDescent="0.25">
      <c r="A74" s="30"/>
      <c r="B74" s="31"/>
      <c r="C74" s="31"/>
      <c r="D74" s="31"/>
      <c r="E74" s="32"/>
      <c r="F74" s="31"/>
      <c r="G74" s="33">
        <f>SUM(G69:G73)</f>
        <v>1413176</v>
      </c>
    </row>
    <row r="75" spans="1:7" s="1" customFormat="1" ht="33" customHeight="1" x14ac:dyDescent="0.25">
      <c r="A75" s="39" t="s">
        <v>47</v>
      </c>
      <c r="B75" s="40"/>
      <c r="C75" s="40"/>
      <c r="D75" s="40"/>
      <c r="E75" s="40"/>
      <c r="F75" s="40"/>
      <c r="G75" s="41"/>
    </row>
    <row r="76" spans="1:7" s="1" customFormat="1" ht="33" customHeight="1" x14ac:dyDescent="0.25">
      <c r="A76" s="2" t="s">
        <v>19</v>
      </c>
      <c r="B76" s="2" t="s">
        <v>18</v>
      </c>
      <c r="C76" s="2" t="s">
        <v>8</v>
      </c>
      <c r="D76" s="2" t="s">
        <v>17</v>
      </c>
      <c r="E76" s="3">
        <v>1</v>
      </c>
      <c r="F76" s="2" t="s">
        <v>16</v>
      </c>
      <c r="G76" s="4">
        <v>375741</v>
      </c>
    </row>
    <row r="77" spans="1:7" s="1" customFormat="1" ht="33" customHeight="1" x14ac:dyDescent="0.25">
      <c r="A77" s="2" t="s">
        <v>25</v>
      </c>
      <c r="B77" s="2" t="s">
        <v>24</v>
      </c>
      <c r="C77" s="2" t="s">
        <v>8</v>
      </c>
      <c r="D77" s="2" t="s">
        <v>21</v>
      </c>
      <c r="E77" s="3">
        <v>1</v>
      </c>
      <c r="F77" s="2" t="s">
        <v>26</v>
      </c>
      <c r="G77" s="4">
        <v>350615</v>
      </c>
    </row>
    <row r="78" spans="1:7" s="1" customFormat="1" ht="33" customHeight="1" x14ac:dyDescent="0.25">
      <c r="A78" s="2" t="s">
        <v>25</v>
      </c>
      <c r="B78" s="2" t="s">
        <v>24</v>
      </c>
      <c r="C78" s="2" t="s">
        <v>8</v>
      </c>
      <c r="D78" s="2" t="s">
        <v>21</v>
      </c>
      <c r="E78" s="3">
        <v>1</v>
      </c>
      <c r="F78" s="2" t="s">
        <v>26</v>
      </c>
      <c r="G78" s="4">
        <v>350615</v>
      </c>
    </row>
    <row r="79" spans="1:7" s="1" customFormat="1" ht="33" customHeight="1" x14ac:dyDescent="0.25">
      <c r="A79" s="2" t="s">
        <v>25</v>
      </c>
      <c r="B79" s="2" t="s">
        <v>24</v>
      </c>
      <c r="C79" s="2" t="s">
        <v>8</v>
      </c>
      <c r="D79" s="2" t="s">
        <v>21</v>
      </c>
      <c r="E79" s="3">
        <v>1</v>
      </c>
      <c r="F79" s="2" t="s">
        <v>26</v>
      </c>
      <c r="G79" s="4">
        <v>350615</v>
      </c>
    </row>
    <row r="80" spans="1:7" s="1" customFormat="1" ht="33" customHeight="1" x14ac:dyDescent="0.25">
      <c r="A80" s="2" t="s">
        <v>33</v>
      </c>
      <c r="B80" s="2"/>
      <c r="C80" s="2"/>
      <c r="D80" s="2"/>
      <c r="E80" s="3">
        <v>1</v>
      </c>
      <c r="F80" s="2" t="s">
        <v>26</v>
      </c>
      <c r="G80" s="4">
        <v>350615</v>
      </c>
    </row>
    <row r="81" spans="1:7" s="1" customFormat="1" ht="33" customHeight="1" x14ac:dyDescent="0.25">
      <c r="A81" s="30"/>
      <c r="B81" s="31"/>
      <c r="C81" s="31"/>
      <c r="D81" s="31"/>
      <c r="E81" s="32"/>
      <c r="F81" s="31"/>
      <c r="G81" s="33">
        <f>SUM(G76:G80)</f>
        <v>1778201</v>
      </c>
    </row>
    <row r="82" spans="1:7" s="1" customFormat="1" ht="33" customHeight="1" x14ac:dyDescent="0.25">
      <c r="A82" s="39" t="s">
        <v>48</v>
      </c>
      <c r="B82" s="40"/>
      <c r="C82" s="40"/>
      <c r="D82" s="40"/>
      <c r="E82" s="40"/>
      <c r="F82" s="40"/>
      <c r="G82" s="41"/>
    </row>
    <row r="83" spans="1:7" s="1" customFormat="1" ht="33" customHeight="1" x14ac:dyDescent="0.25">
      <c r="A83" s="2" t="s">
        <v>19</v>
      </c>
      <c r="B83" s="2" t="s">
        <v>18</v>
      </c>
      <c r="C83" s="2" t="s">
        <v>8</v>
      </c>
      <c r="D83" s="2" t="s">
        <v>17</v>
      </c>
      <c r="E83" s="3">
        <v>1</v>
      </c>
      <c r="F83" s="2" t="s">
        <v>15</v>
      </c>
      <c r="G83" s="4">
        <v>383255</v>
      </c>
    </row>
    <row r="84" spans="1:7" s="1" customFormat="1" ht="33" customHeight="1" x14ac:dyDescent="0.25">
      <c r="A84" s="2" t="s">
        <v>25</v>
      </c>
      <c r="B84" s="2" t="s">
        <v>24</v>
      </c>
      <c r="C84" s="2" t="s">
        <v>8</v>
      </c>
      <c r="D84" s="2" t="s">
        <v>21</v>
      </c>
      <c r="E84" s="3">
        <v>1</v>
      </c>
      <c r="F84" s="2" t="s">
        <v>26</v>
      </c>
      <c r="G84" s="4">
        <v>350615</v>
      </c>
    </row>
    <row r="85" spans="1:7" s="1" customFormat="1" ht="33" customHeight="1" x14ac:dyDescent="0.25">
      <c r="A85" s="2" t="s">
        <v>25</v>
      </c>
      <c r="B85" s="2" t="s">
        <v>24</v>
      </c>
      <c r="C85" s="2" t="s">
        <v>8</v>
      </c>
      <c r="D85" s="2" t="s">
        <v>21</v>
      </c>
      <c r="E85" s="3">
        <v>1</v>
      </c>
      <c r="F85" s="2" t="s">
        <v>16</v>
      </c>
      <c r="G85" s="4">
        <v>323914</v>
      </c>
    </row>
    <row r="86" spans="1:7" s="1" customFormat="1" ht="33" customHeight="1" x14ac:dyDescent="0.25">
      <c r="A86" s="2" t="s">
        <v>33</v>
      </c>
      <c r="B86" s="2" t="s">
        <v>34</v>
      </c>
      <c r="C86" s="2"/>
      <c r="D86" s="2"/>
      <c r="E86" s="3">
        <v>1</v>
      </c>
      <c r="F86" s="2" t="s">
        <v>26</v>
      </c>
      <c r="G86" s="4">
        <v>350615</v>
      </c>
    </row>
    <row r="87" spans="1:7" s="1" customFormat="1" ht="33" customHeight="1" x14ac:dyDescent="0.25">
      <c r="A87" s="2" t="s">
        <v>33</v>
      </c>
      <c r="B87" s="2" t="s">
        <v>34</v>
      </c>
      <c r="C87" s="2"/>
      <c r="D87" s="2"/>
      <c r="E87" s="3">
        <v>1</v>
      </c>
      <c r="F87" s="2" t="s">
        <v>26</v>
      </c>
      <c r="G87" s="4">
        <v>350615</v>
      </c>
    </row>
    <row r="88" spans="1:7" s="1" customFormat="1" ht="33" customHeight="1" x14ac:dyDescent="0.25">
      <c r="A88" s="30"/>
      <c r="B88" s="31"/>
      <c r="C88" s="31"/>
      <c r="D88" s="31"/>
      <c r="E88" s="32"/>
      <c r="F88" s="31"/>
      <c r="G88" s="33">
        <f>SUM(G83:G87)</f>
        <v>1759014</v>
      </c>
    </row>
    <row r="89" spans="1:7" s="1" customFormat="1" ht="33" customHeight="1" x14ac:dyDescent="0.25">
      <c r="A89" s="39" t="s">
        <v>49</v>
      </c>
      <c r="B89" s="40"/>
      <c r="C89" s="40"/>
      <c r="D89" s="40"/>
      <c r="E89" s="40"/>
      <c r="F89" s="40"/>
      <c r="G89" s="41"/>
    </row>
    <row r="90" spans="1:7" s="1" customFormat="1" ht="33" customHeight="1" x14ac:dyDescent="0.25">
      <c r="A90" s="2" t="s">
        <v>19</v>
      </c>
      <c r="B90" s="2" t="s">
        <v>18</v>
      </c>
      <c r="C90" s="2" t="s">
        <v>8</v>
      </c>
      <c r="D90" s="2" t="s">
        <v>17</v>
      </c>
      <c r="E90" s="3">
        <v>1</v>
      </c>
      <c r="F90" s="2" t="s">
        <v>26</v>
      </c>
      <c r="G90" s="4">
        <v>406714</v>
      </c>
    </row>
    <row r="91" spans="1:7" s="1" customFormat="1" ht="33" customHeight="1" x14ac:dyDescent="0.25">
      <c r="A91" s="2" t="s">
        <v>25</v>
      </c>
      <c r="B91" s="2" t="s">
        <v>24</v>
      </c>
      <c r="C91" s="2" t="s">
        <v>8</v>
      </c>
      <c r="D91" s="2" t="s">
        <v>21</v>
      </c>
      <c r="E91" s="3">
        <v>1</v>
      </c>
      <c r="F91" s="2" t="s">
        <v>20</v>
      </c>
      <c r="G91" s="4">
        <v>317563</v>
      </c>
    </row>
    <row r="92" spans="1:7" s="1" customFormat="1" ht="33" customHeight="1" x14ac:dyDescent="0.25">
      <c r="A92" s="2" t="s">
        <v>25</v>
      </c>
      <c r="B92" s="2" t="s">
        <v>24</v>
      </c>
      <c r="C92" s="2" t="s">
        <v>8</v>
      </c>
      <c r="D92" s="2" t="s">
        <v>21</v>
      </c>
      <c r="E92" s="3">
        <v>1</v>
      </c>
      <c r="F92" s="2" t="s">
        <v>27</v>
      </c>
      <c r="G92" s="4">
        <v>305232</v>
      </c>
    </row>
    <row r="93" spans="1:7" s="1" customFormat="1" ht="33" customHeight="1" x14ac:dyDescent="0.25">
      <c r="A93" s="9" t="s">
        <v>35</v>
      </c>
      <c r="B93" s="9"/>
      <c r="C93" s="9"/>
      <c r="D93" s="9"/>
      <c r="E93" s="10">
        <v>1</v>
      </c>
      <c r="F93" s="9" t="s">
        <v>26</v>
      </c>
      <c r="G93" s="11">
        <v>350615</v>
      </c>
    </row>
    <row r="94" spans="1:7" s="1" customFormat="1" ht="33" customHeight="1" x14ac:dyDescent="0.25">
      <c r="A94" s="36"/>
      <c r="B94" s="36"/>
      <c r="C94" s="36"/>
      <c r="D94" s="36"/>
      <c r="E94" s="37"/>
      <c r="F94" s="36"/>
      <c r="G94" s="35">
        <f>SUM(G90:G93)</f>
        <v>1380124</v>
      </c>
    </row>
    <row r="95" spans="1:7" s="15" customFormat="1" ht="74.25" customHeight="1" x14ac:dyDescent="0.25">
      <c r="A95" s="13" t="s">
        <v>57</v>
      </c>
      <c r="B95" s="13"/>
      <c r="C95" s="13"/>
      <c r="D95" s="13"/>
      <c r="E95" s="14">
        <f>E5+E6+E7+E8+E11+E12+E13+E14+E17+E18+E19+E20+E24+E25+E26+E27+E28+E32+E33+E34+E35+E38+E39+E40+E41+E44+E45+E46+E47+E48+E51+E52+E53+E54+E57+E58+E59+E60+E63+E64+E65+E69+E70+E71+E72+E76+E77+E78+E79+E83+E84+E85+E86+E90+E91+E92+E93+E87+E80</f>
        <v>59</v>
      </c>
      <c r="F95" s="13"/>
      <c r="G95" s="38">
        <f>G9+G15+G22+G30+G36+G42+G49+G55+G61+G67+G74+G81+G88+G94</f>
        <v>20692713</v>
      </c>
    </row>
    <row r="96" spans="1:7" x14ac:dyDescent="0.25">
      <c r="A96" s="12"/>
      <c r="B96" s="12"/>
      <c r="C96" s="12"/>
      <c r="D96" s="12"/>
      <c r="E96" s="12"/>
      <c r="F96" s="12"/>
      <c r="G96" s="12"/>
    </row>
  </sheetData>
  <mergeCells count="21">
    <mergeCell ref="A10:G10"/>
    <mergeCell ref="A1:G1"/>
    <mergeCell ref="A56:G56"/>
    <mergeCell ref="A62:G62"/>
    <mergeCell ref="A68:G68"/>
    <mergeCell ref="A75:G75"/>
    <mergeCell ref="A82:G82"/>
    <mergeCell ref="A89:G89"/>
    <mergeCell ref="A2:A4"/>
    <mergeCell ref="B2:B4"/>
    <mergeCell ref="C2:C4"/>
    <mergeCell ref="A16:G16"/>
    <mergeCell ref="A43:G43"/>
    <mergeCell ref="A23:G23"/>
    <mergeCell ref="A31:G31"/>
    <mergeCell ref="A37:G37"/>
    <mergeCell ref="A50:G50"/>
    <mergeCell ref="G2:G4"/>
    <mergeCell ref="D2:D4"/>
    <mergeCell ref="E2:E4"/>
    <mergeCell ref="F2:F4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Упр. финансов</dc:creator>
  <cp:lastModifiedBy>Usib</cp:lastModifiedBy>
  <dcterms:created xsi:type="dcterms:W3CDTF">2025-11-10T14:08:13Z</dcterms:created>
  <dcterms:modified xsi:type="dcterms:W3CDTF">2026-01-09T13:24:26Z</dcterms:modified>
</cp:coreProperties>
</file>